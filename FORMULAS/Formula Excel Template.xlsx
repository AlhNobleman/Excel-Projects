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Data Analysis Journey\EXCEL DATABASE\"/>
    </mc:Choice>
  </mc:AlternateContent>
  <bookViews>
    <workbookView xWindow="0" yWindow="0" windowWidth="16815" windowHeight="7755" firstSheet="5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2" i="7"/>
  <c r="J3" i="7"/>
  <c r="J4" i="7"/>
  <c r="J5" i="7"/>
  <c r="J6" i="7"/>
  <c r="J7" i="7"/>
  <c r="J8" i="7"/>
  <c r="J9" i="7"/>
  <c r="J10" i="7"/>
  <c r="L3" i="7"/>
  <c r="L4" i="7"/>
  <c r="L5" i="7"/>
  <c r="L6" i="7"/>
  <c r="L7" i="7"/>
  <c r="L8" i="7"/>
  <c r="L9" i="7"/>
  <c r="L10" i="7"/>
  <c r="L2" i="7"/>
  <c r="K10" i="1"/>
  <c r="K9" i="1"/>
  <c r="K8" i="1"/>
  <c r="K7" i="1"/>
  <c r="K6" i="1"/>
  <c r="K5" i="1"/>
  <c r="K4" i="1"/>
  <c r="K3" i="1"/>
  <c r="K2" i="1"/>
  <c r="J10" i="1"/>
  <c r="J9" i="1"/>
  <c r="J8" i="1"/>
  <c r="J7" i="1"/>
  <c r="J6" i="1"/>
  <c r="J5" i="1"/>
  <c r="J4" i="1"/>
  <c r="J3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2" i="9"/>
  <c r="J2" i="9"/>
  <c r="H11" i="1" l="1"/>
  <c r="H12" i="1"/>
</calcChain>
</file>

<file path=xl/sharedStrings.xml><?xml version="1.0" encoding="utf-8"?>
<sst xmlns="http://schemas.openxmlformats.org/spreadsheetml/2006/main" count="583" uniqueCount="89">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</sst>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6" sqref="J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2">
        <f>MAX(G2:G10)</f>
        <v>65000</v>
      </c>
      <c r="K2" s="2">
        <f>MIN(G2:G10)</f>
        <v>36000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/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9" sqref="J9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 xml:space="preserve"> IF(D2:D10 &gt; 30, "OLD", "YOUNG")</f>
        <v>YOUNG</v>
      </c>
      <c r="K2" t="str">
        <f xml:space="preserve"> IF(F2:F10 = "Salesman", "10% bonus", IF(F2:F10 = "Receptionist", "5% bonus", IF(F2:F10 = "Accountant", "15% bonus", "No bonus")))</f>
        <v>10% bonus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 xml:space="preserve"> IF(D3:D11 &gt; 30, "OLD", "YOUNG")</f>
        <v>YOUNG</v>
      </c>
      <c r="K3" t="str">
        <f t="shared" ref="K3:K10" si="1" xml:space="preserve"> IF(F3:F11 = "Salesman", "10% bonus", IF(F3:F11 = "Receptionist", "5% bonus", IF(F3:F11 = "Accountant", "15% bonus", "No bonus")))</f>
        <v>5% bonus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10% bonus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str">
        <f t="shared" si="1"/>
        <v>15% bonus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No bonus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No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str">
        <f t="shared" si="1"/>
        <v>No bonus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10% bonus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str">
        <f t="shared" si="1"/>
        <v>15%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J15" sqref="J15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 xml:space="preserve"> LEN(A2:A10)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 xml:space="preserve"> LEN(A3:A11)</f>
        <v>4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4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4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4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4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4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topLeftCell="B1" workbookViewId="0">
      <selection activeCell="M8" sqref="M8"/>
    </sheetView>
  </sheetViews>
  <sheetFormatPr defaultColWidth="14.5703125" defaultRowHeight="15" x14ac:dyDescent="0.25"/>
  <cols>
    <col min="4" max="4" width="8" customWidth="1"/>
    <col min="10" max="10" width="26.285156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88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 xml:space="preserve"> LEFT(B2:B10, 3)</f>
        <v>Jim</v>
      </c>
      <c r="L2" t="str">
        <f xml:space="preserve"> RIGHT(A2:A10,2)</f>
        <v>01</v>
      </c>
      <c r="M2" t="str">
        <f xml:space="preserve"> RIGHT(I2, 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 xml:space="preserve"> LEFT(B3:B11, 3)</f>
        <v>Pam</v>
      </c>
      <c r="L3" t="str">
        <f t="shared" ref="L3:L10" si="1" xml:space="preserve"> RIGHT(A3:A11,2)</f>
        <v>02</v>
      </c>
      <c r="M3" t="str">
        <f t="shared" ref="M3:M10" si="2" xml:space="preserve"> RIGHT(I3, 4)</f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03</v>
      </c>
      <c r="M4" t="str">
        <f t="shared" si="2"/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04</v>
      </c>
      <c r="M5" t="str">
        <f t="shared" si="2"/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05</v>
      </c>
      <c r="M6" t="str">
        <f t="shared" si="2"/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06</v>
      </c>
      <c r="M7" t="str">
        <f t="shared" si="2"/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07</v>
      </c>
      <c r="M8" t="str">
        <f t="shared" si="2"/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08</v>
      </c>
      <c r="M9" t="str">
        <f t="shared" si="2"/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09</v>
      </c>
      <c r="M10" t="str">
        <f t="shared" si="2"/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3"/>
  <sheetViews>
    <sheetView workbookViewId="0">
      <selection activeCell="L1" sqref="L1:L104857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 xml:space="preserve"> TEXT(H2, "dd/mm/yyyy")</f>
        <v>02/11/2001</v>
      </c>
      <c r="K2" s="3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 xml:space="preserve"> TEXT(H3, "dd/mm/yyyy")</f>
        <v>03/10/1999</v>
      </c>
      <c r="K3" s="3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</row>
    <row r="12" spans="1:11" x14ac:dyDescent="0.25">
      <c r="H12" s="1"/>
    </row>
    <row r="13" spans="1:11" x14ac:dyDescent="0.25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7" sqref="K7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 xml:space="preserve"> 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 xml:space="preserve"> TRIM(C3:C11)</f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topLeftCell="B1" workbookViewId="0">
      <selection activeCell="M2" sqref="M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  <col min="10" max="10" width="16.140625" customWidth="1"/>
    <col min="11" max="11" width="33.1406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 xml:space="preserve"> SUBSTITUTE(I2, "/", "-", 1)</f>
        <v>9-6/2015</v>
      </c>
      <c r="K2" t="str">
        <f xml:space="preserve"> SUBSTITUTE(I2, "/", "-", 2)</f>
        <v>9/6-2015</v>
      </c>
      <c r="L2" t="str">
        <f xml:space="preserve"> SUBSTITUTE(I2, "/", "-")</f>
        <v>9-6-2015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 xml:space="preserve"> SUBSTITUTE(I3, "/", "-", 1)</f>
        <v>10-10/2015</v>
      </c>
      <c r="K3" t="str">
        <f t="shared" ref="K3:K10" si="1" xml:space="preserve"> SUBSTITUTE(I3, "/", "-", 2)</f>
        <v>10/10-2015</v>
      </c>
      <c r="L3" t="str">
        <f t="shared" ref="L3:L10" si="2" xml:space="preserve"> SUBSTITUTE(I3, "/", "-")</f>
        <v>10-10-2015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9-8/2017</v>
      </c>
      <c r="K4" t="str">
        <f t="shared" si="1"/>
        <v>9/8-2017</v>
      </c>
      <c r="L4" t="str">
        <f t="shared" si="2"/>
        <v>9-8-2017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12-3/2015</v>
      </c>
      <c r="K5" t="str">
        <f t="shared" si="1"/>
        <v>12/3-2015</v>
      </c>
      <c r="L5" t="str">
        <f t="shared" si="2"/>
        <v>12-3-2015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8-30/2017</v>
      </c>
      <c r="K6" t="str">
        <f t="shared" si="1"/>
        <v>8/30-2017</v>
      </c>
      <c r="L6" t="str">
        <f t="shared" si="2"/>
        <v>8-30-2017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9-11/2013</v>
      </c>
      <c r="K7" t="str">
        <f t="shared" si="1"/>
        <v>9/11-2013</v>
      </c>
      <c r="L7" t="str">
        <f t="shared" si="2"/>
        <v>9-11-2013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9-11/2013</v>
      </c>
      <c r="K8" t="str">
        <f t="shared" si="1"/>
        <v>9/11-2013</v>
      </c>
      <c r="L8" t="str">
        <f t="shared" si="2"/>
        <v>9-11-2013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4-22/2015</v>
      </c>
      <c r="K9" t="str">
        <f t="shared" si="1"/>
        <v>4/22-2015</v>
      </c>
      <c r="L9" t="str">
        <f t="shared" si="2"/>
        <v>4-22-2015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4-22/2015</v>
      </c>
      <c r="K10" t="str">
        <f t="shared" si="1"/>
        <v>4/22-2015</v>
      </c>
      <c r="L10" t="str">
        <f t="shared" si="2"/>
        <v>4-22-2015</v>
      </c>
    </row>
    <row r="12" spans="1:12" x14ac:dyDescent="0.25">
      <c r="H12" s="3"/>
      <c r="I12" s="3"/>
    </row>
    <row r="13" spans="1:12" x14ac:dyDescent="0.25">
      <c r="H13" s="3"/>
      <c r="I13" s="3"/>
    </row>
    <row r="14" spans="1:12" x14ac:dyDescent="0.25">
      <c r="H14" s="3"/>
      <c r="I14" s="3"/>
    </row>
    <row r="15" spans="1:12" x14ac:dyDescent="0.25">
      <c r="H15" s="3"/>
      <c r="I15" s="3"/>
    </row>
    <row r="16" spans="1:12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 xml:space="preserve"> SUM(G2:G10)</f>
        <v>437000</v>
      </c>
      <c r="K2">
        <f>SUMIF(G2:G10, "&gt; 50000")</f>
        <v>128000</v>
      </c>
      <c r="L2">
        <f xml:space="preserve"> SUMIFS(G2:G10,E2:E10, "Male", D2:D10, "&gt; 30")</f>
        <v>205000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 xml:space="preserve"> COUNT(A2:A10)</f>
        <v>9</v>
      </c>
      <c r="K2">
        <f xml:space="preserve"> COUNTIF(E2:E10, "Male")</f>
        <v>6</v>
      </c>
      <c r="L2">
        <f xml:space="preserve"> COUNTIFS(E2:E10, "Male", D2:D10, "&gt;30")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K2" sqref="K2:K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17.42578125" customWidth="1"/>
    <col min="11" max="11" width="32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 xml:space="preserve"> CONCATENATE(B2, " ", C2)</f>
        <v>Jim Halpert</v>
      </c>
      <c r="K2" t="str">
        <f>CONCATENATE(B2,C2, "@shomoyeltd.com")</f>
        <v>JimHalpert@shomoyeltd.com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 xml:space="preserve"> CONCATENATE(B3, " ", C3)</f>
        <v>Pam Beasley</v>
      </c>
      <c r="K3" t="str">
        <f t="shared" ref="K3:K10" si="1">CONCATENATE(B3,C3, "@shomoyeltd.com")</f>
        <v>PamBeasley@shomoyeltd.com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DwightSchrute@shomoyeltd.com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AngelaMartin@shomoyeltd.com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TobyFlenderson@shomoyeltd.com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MichaelScott@shomoyeltd.com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MeredithPalmer@shomoyeltd.com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StanleyHudson@shomoyeltd.com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KevinMalone@shomoyeltd.com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L4" sqref="L4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 xml:space="preserve"> _xlfn.DAYS(I2, H2)</f>
        <v>5056</v>
      </c>
      <c r="K2">
        <f xml:space="preserve"> NETWORKDAYS(H2, 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 xml:space="preserve"> _xlfn.DAYS(I3, H3)</f>
        <v>5851</v>
      </c>
      <c r="K3">
        <f t="shared" ref="K3:K10" si="1" xml:space="preserve"> NETWORKDAYS(H3, 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ACER</cp:lastModifiedBy>
  <dcterms:created xsi:type="dcterms:W3CDTF">2021-12-16T14:18:34Z</dcterms:created>
  <dcterms:modified xsi:type="dcterms:W3CDTF">2026-06-12T08:28:46Z</dcterms:modified>
</cp:coreProperties>
</file>